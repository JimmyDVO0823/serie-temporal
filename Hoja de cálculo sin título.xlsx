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<sst xmlns="http://schemas.openxmlformats.org/spreadsheetml/2006/main" count="35" uniqueCount="15">
  <si>
    <t>Año</t>
  </si>
  <si>
    <t>Trimestre</t>
  </si>
  <si>
    <t>t</t>
  </si>
  <si>
    <t>Tasa de desocupacion (TD)</t>
  </si>
  <si>
    <t>Promedio Móvil</t>
  </si>
  <si>
    <t>Promedio_Centrado</t>
  </si>
  <si>
    <t>Estacionalidad</t>
  </si>
  <si>
    <t>Indice Estacional</t>
  </si>
  <si>
    <t>Desestacionalizada</t>
  </si>
  <si>
    <t>Tendencia</t>
  </si>
  <si>
    <t>Proyección</t>
  </si>
  <si>
    <t>I</t>
  </si>
  <si>
    <t>II</t>
  </si>
  <si>
    <t>III</t>
  </si>
  <si>
    <t>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</si>
</sst>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CC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2021.0</v>
      </c>
      <c r="B2" s="3" t="s">
        <v>11</v>
      </c>
      <c r="C2" s="3">
        <v>1.0</v>
      </c>
      <c r="D2" s="3">
        <v>15.8</v>
      </c>
      <c r="E2" s="4"/>
      <c r="F2" s="4"/>
      <c r="G2" s="4"/>
      <c r="H2" s="3">
        <v>1.05</v>
      </c>
      <c r="I2" s="3">
        <f t="shared" ref="I2:I22" si="1">ROUND(D2/H2,4)</f>
        <v>15.0476</v>
      </c>
      <c r="J2" s="3">
        <f t="shared" ref="J2:J21" si="2">ROUND(INTERCEPT($D$13:$D$32,$C$13:$C$32)+SLOPE($D$13:$D$32,$C$13:$C$32)*C2,4)</f>
        <v>12.7794</v>
      </c>
      <c r="K2" s="4"/>
    </row>
    <row r="3">
      <c r="A3" s="3">
        <v>2021.0</v>
      </c>
      <c r="B3" s="3" t="s">
        <v>12</v>
      </c>
      <c r="C3" s="3">
        <v>2.0</v>
      </c>
      <c r="D3" s="3">
        <v>15.0</v>
      </c>
      <c r="E3" s="4"/>
      <c r="F3" s="4"/>
      <c r="G3" s="4"/>
      <c r="H3" s="3">
        <v>1.01</v>
      </c>
      <c r="I3" s="3">
        <f t="shared" si="1"/>
        <v>14.8515</v>
      </c>
      <c r="J3" s="3">
        <f t="shared" si="2"/>
        <v>12.5271</v>
      </c>
      <c r="K3" s="4"/>
    </row>
    <row r="4">
      <c r="A4" s="3">
        <v>2021.0</v>
      </c>
      <c r="B4" s="3" t="s">
        <v>13</v>
      </c>
      <c r="C4" s="3">
        <v>3.0</v>
      </c>
      <c r="D4" s="3">
        <v>13.0</v>
      </c>
      <c r="E4" s="3">
        <f t="shared" ref="E4:E20" si="3">AVERAGE(D2:D5)</f>
        <v>13.825</v>
      </c>
      <c r="F4" s="3">
        <f t="shared" ref="F4:F20" si="4">AVERAGE(E4:E5)</f>
        <v>13.3375</v>
      </c>
      <c r="G4" s="3">
        <f t="shared" ref="G4:G21" si="5">ROUND(D4/F4,4)</f>
        <v>0.9747</v>
      </c>
      <c r="H4" s="3">
        <v>0.98</v>
      </c>
      <c r="I4" s="3">
        <f t="shared" si="1"/>
        <v>13.2653</v>
      </c>
      <c r="J4" s="3">
        <f t="shared" si="2"/>
        <v>12.2748</v>
      </c>
      <c r="K4" s="4"/>
    </row>
    <row r="5">
      <c r="A5" s="3">
        <v>2021.0</v>
      </c>
      <c r="B5" s="3" t="s">
        <v>14</v>
      </c>
      <c r="C5" s="3">
        <v>4.0</v>
      </c>
      <c r="D5" s="3">
        <v>11.5</v>
      </c>
      <c r="E5" s="3">
        <f t="shared" si="3"/>
        <v>12.85</v>
      </c>
      <c r="F5" s="3">
        <f t="shared" si="4"/>
        <v>12.35</v>
      </c>
      <c r="G5" s="3">
        <f t="shared" si="5"/>
        <v>0.9312</v>
      </c>
      <c r="H5" s="3">
        <v>0.94</v>
      </c>
      <c r="I5" s="3">
        <f t="shared" si="1"/>
        <v>12.234</v>
      </c>
      <c r="J5" s="3">
        <f t="shared" si="2"/>
        <v>12.0225</v>
      </c>
      <c r="K5" s="4"/>
    </row>
    <row r="6">
      <c r="A6" s="3">
        <v>2022.0</v>
      </c>
      <c r="B6" s="3" t="s">
        <v>11</v>
      </c>
      <c r="C6" s="3">
        <v>5.0</v>
      </c>
      <c r="D6" s="3">
        <v>11.9</v>
      </c>
      <c r="E6" s="3">
        <f t="shared" si="3"/>
        <v>11.85</v>
      </c>
      <c r="F6" s="3">
        <f t="shared" si="4"/>
        <v>11.575</v>
      </c>
      <c r="G6" s="3">
        <f t="shared" si="5"/>
        <v>1.0281</v>
      </c>
      <c r="H6" s="3">
        <v>1.05</v>
      </c>
      <c r="I6" s="3">
        <f t="shared" si="1"/>
        <v>11.3333</v>
      </c>
      <c r="J6" s="3">
        <f t="shared" si="2"/>
        <v>11.7703</v>
      </c>
      <c r="K6" s="4"/>
    </row>
    <row r="7">
      <c r="A7" s="3">
        <v>2022.0</v>
      </c>
      <c r="B7" s="3" t="s">
        <v>12</v>
      </c>
      <c r="C7" s="3">
        <v>6.0</v>
      </c>
      <c r="D7" s="3">
        <v>11.0</v>
      </c>
      <c r="E7" s="3">
        <f t="shared" si="3"/>
        <v>11.3</v>
      </c>
      <c r="F7" s="3">
        <f t="shared" si="4"/>
        <v>11.0875</v>
      </c>
      <c r="G7" s="3">
        <f t="shared" si="5"/>
        <v>0.9921</v>
      </c>
      <c r="H7" s="3">
        <v>1.01</v>
      </c>
      <c r="I7" s="3">
        <f t="shared" si="1"/>
        <v>10.8911</v>
      </c>
      <c r="J7" s="3">
        <f t="shared" si="2"/>
        <v>11.518</v>
      </c>
      <c r="K7" s="4"/>
    </row>
    <row r="8">
      <c r="A8" s="3">
        <v>2022.0</v>
      </c>
      <c r="B8" s="3" t="s">
        <v>13</v>
      </c>
      <c r="C8" s="3">
        <v>7.0</v>
      </c>
      <c r="D8" s="3">
        <v>10.8</v>
      </c>
      <c r="E8" s="3">
        <f t="shared" si="3"/>
        <v>10.875</v>
      </c>
      <c r="F8" s="3">
        <f t="shared" si="4"/>
        <v>10.6375</v>
      </c>
      <c r="G8" s="3">
        <f t="shared" si="5"/>
        <v>1.0153</v>
      </c>
      <c r="H8" s="3">
        <v>0.98</v>
      </c>
      <c r="I8" s="3">
        <f t="shared" si="1"/>
        <v>11.0204</v>
      </c>
      <c r="J8" s="3">
        <f t="shared" si="2"/>
        <v>11.2657</v>
      </c>
      <c r="K8" s="4"/>
    </row>
    <row r="9">
      <c r="A9" s="3">
        <v>2022.0</v>
      </c>
      <c r="B9" s="3" t="s">
        <v>14</v>
      </c>
      <c r="C9" s="3">
        <v>8.0</v>
      </c>
      <c r="D9" s="3">
        <v>9.8</v>
      </c>
      <c r="E9" s="3">
        <f t="shared" si="3"/>
        <v>10.4</v>
      </c>
      <c r="F9" s="3">
        <f t="shared" si="4"/>
        <v>10.225</v>
      </c>
      <c r="G9" s="3">
        <f t="shared" si="5"/>
        <v>0.9584</v>
      </c>
      <c r="H9" s="3">
        <v>0.94</v>
      </c>
      <c r="I9" s="3">
        <f t="shared" si="1"/>
        <v>10.4255</v>
      </c>
      <c r="J9" s="3">
        <f t="shared" si="2"/>
        <v>11.0134</v>
      </c>
      <c r="K9" s="4"/>
    </row>
    <row r="10">
      <c r="A10" s="3">
        <v>2023.0</v>
      </c>
      <c r="B10" s="3" t="s">
        <v>11</v>
      </c>
      <c r="C10" s="3">
        <v>9.0</v>
      </c>
      <c r="D10" s="3">
        <v>10.0</v>
      </c>
      <c r="E10" s="3">
        <f t="shared" si="3"/>
        <v>10.05</v>
      </c>
      <c r="F10" s="3">
        <f t="shared" si="4"/>
        <v>9.8625</v>
      </c>
      <c r="G10" s="3">
        <f t="shared" si="5"/>
        <v>1.0139</v>
      </c>
      <c r="H10" s="3">
        <v>1.05</v>
      </c>
      <c r="I10" s="3">
        <f t="shared" si="1"/>
        <v>9.5238</v>
      </c>
      <c r="J10" s="3">
        <f t="shared" si="2"/>
        <v>10.7611</v>
      </c>
      <c r="K10" s="4"/>
    </row>
    <row r="11">
      <c r="A11" s="3">
        <v>2023.0</v>
      </c>
      <c r="B11" s="3" t="s">
        <v>12</v>
      </c>
      <c r="C11" s="3">
        <v>10.0</v>
      </c>
      <c r="D11" s="3">
        <v>9.6</v>
      </c>
      <c r="E11" s="3">
        <f t="shared" si="3"/>
        <v>9.675</v>
      </c>
      <c r="F11" s="3">
        <f t="shared" si="4"/>
        <v>9.575</v>
      </c>
      <c r="G11" s="3">
        <f t="shared" si="5"/>
        <v>1.0026</v>
      </c>
      <c r="H11" s="3">
        <v>1.01</v>
      </c>
      <c r="I11" s="3">
        <f t="shared" si="1"/>
        <v>9.505</v>
      </c>
      <c r="J11" s="3">
        <f t="shared" si="2"/>
        <v>10.5088</v>
      </c>
      <c r="K11" s="4"/>
    </row>
    <row r="12">
      <c r="A12" s="3">
        <v>2023.0</v>
      </c>
      <c r="B12" s="3" t="s">
        <v>13</v>
      </c>
      <c r="C12" s="3">
        <v>11.0</v>
      </c>
      <c r="D12" s="3">
        <v>9.3</v>
      </c>
      <c r="E12" s="3">
        <f t="shared" si="3"/>
        <v>9.475</v>
      </c>
      <c r="F12" s="3">
        <f t="shared" si="4"/>
        <v>9.45</v>
      </c>
      <c r="G12" s="3">
        <f t="shared" si="5"/>
        <v>0.9841</v>
      </c>
      <c r="H12" s="3">
        <v>0.98</v>
      </c>
      <c r="I12" s="3">
        <f t="shared" si="1"/>
        <v>9.4898</v>
      </c>
      <c r="J12" s="3">
        <f t="shared" si="2"/>
        <v>10.2565</v>
      </c>
      <c r="K12" s="4"/>
    </row>
    <row r="13">
      <c r="A13" s="3">
        <v>2023.0</v>
      </c>
      <c r="B13" s="3" t="s">
        <v>14</v>
      </c>
      <c r="C13" s="3">
        <v>12.0</v>
      </c>
      <c r="D13" s="3">
        <v>9.0</v>
      </c>
      <c r="E13" s="3">
        <f t="shared" si="3"/>
        <v>9.425</v>
      </c>
      <c r="F13" s="3">
        <f t="shared" si="4"/>
        <v>9.4</v>
      </c>
      <c r="G13" s="3">
        <f t="shared" si="5"/>
        <v>0.9574</v>
      </c>
      <c r="H13" s="3">
        <v>0.94</v>
      </c>
      <c r="I13" s="3">
        <f t="shared" si="1"/>
        <v>9.5745</v>
      </c>
      <c r="J13" s="3">
        <f t="shared" si="2"/>
        <v>10.0042</v>
      </c>
      <c r="K13" s="4"/>
    </row>
    <row r="14">
      <c r="A14" s="3">
        <v>2024.0</v>
      </c>
      <c r="B14" s="3" t="s">
        <v>11</v>
      </c>
      <c r="C14" s="3">
        <v>13.0</v>
      </c>
      <c r="D14" s="3">
        <v>9.8</v>
      </c>
      <c r="E14" s="3">
        <f t="shared" si="3"/>
        <v>9.375</v>
      </c>
      <c r="F14" s="3">
        <f t="shared" si="4"/>
        <v>9.3625</v>
      </c>
      <c r="G14" s="3">
        <f t="shared" si="5"/>
        <v>1.0467</v>
      </c>
      <c r="H14" s="3">
        <v>1.05</v>
      </c>
      <c r="I14" s="3">
        <f t="shared" si="1"/>
        <v>9.3333</v>
      </c>
      <c r="J14" s="3">
        <f t="shared" si="2"/>
        <v>9.7519</v>
      </c>
      <c r="K14" s="4"/>
    </row>
    <row r="15">
      <c r="A15" s="3">
        <v>2024.0</v>
      </c>
      <c r="B15" s="3" t="s">
        <v>12</v>
      </c>
      <c r="C15" s="3">
        <v>14.0</v>
      </c>
      <c r="D15" s="3">
        <v>9.4</v>
      </c>
      <c r="E15" s="3">
        <f t="shared" si="3"/>
        <v>9.35</v>
      </c>
      <c r="F15" s="3">
        <f t="shared" si="4"/>
        <v>9.325</v>
      </c>
      <c r="G15" s="3">
        <f t="shared" si="5"/>
        <v>1.008</v>
      </c>
      <c r="H15" s="3">
        <v>1.01</v>
      </c>
      <c r="I15" s="3">
        <f t="shared" si="1"/>
        <v>9.3069</v>
      </c>
      <c r="J15" s="3">
        <f t="shared" si="2"/>
        <v>9.4996</v>
      </c>
      <c r="K15" s="4"/>
    </row>
    <row r="16">
      <c r="A16" s="3">
        <v>2024.0</v>
      </c>
      <c r="B16" s="3" t="s">
        <v>13</v>
      </c>
      <c r="C16" s="3">
        <v>15.0</v>
      </c>
      <c r="D16" s="3">
        <v>9.2</v>
      </c>
      <c r="E16" s="3">
        <f t="shared" si="3"/>
        <v>9.3</v>
      </c>
      <c r="F16" s="3">
        <f t="shared" si="4"/>
        <v>9.2625</v>
      </c>
      <c r="G16" s="3">
        <f t="shared" si="5"/>
        <v>0.9933</v>
      </c>
      <c r="H16" s="3">
        <v>0.98</v>
      </c>
      <c r="I16" s="3">
        <f t="shared" si="1"/>
        <v>9.3878</v>
      </c>
      <c r="J16" s="3">
        <f t="shared" si="2"/>
        <v>9.2473</v>
      </c>
      <c r="K16" s="4"/>
    </row>
    <row r="17">
      <c r="A17" s="3">
        <v>2024.0</v>
      </c>
      <c r="B17" s="3" t="s">
        <v>14</v>
      </c>
      <c r="C17" s="3">
        <v>16.0</v>
      </c>
      <c r="D17" s="3">
        <v>8.8</v>
      </c>
      <c r="E17" s="3">
        <f t="shared" si="3"/>
        <v>9.225</v>
      </c>
      <c r="F17" s="3">
        <f t="shared" si="4"/>
        <v>9.1875</v>
      </c>
      <c r="G17" s="3">
        <f t="shared" si="5"/>
        <v>0.9578</v>
      </c>
      <c r="H17" s="3">
        <v>0.94</v>
      </c>
      <c r="I17" s="3">
        <f t="shared" si="1"/>
        <v>9.3617</v>
      </c>
      <c r="J17" s="3">
        <f t="shared" si="2"/>
        <v>8.9951</v>
      </c>
      <c r="K17" s="4"/>
    </row>
    <row r="18">
      <c r="A18" s="3">
        <v>2025.0</v>
      </c>
      <c r="B18" s="3" t="s">
        <v>11</v>
      </c>
      <c r="C18" s="3">
        <v>17.0</v>
      </c>
      <c r="D18" s="3">
        <v>9.5</v>
      </c>
      <c r="E18" s="3">
        <f t="shared" si="3"/>
        <v>9.15</v>
      </c>
      <c r="F18" s="3">
        <f t="shared" si="4"/>
        <v>9.125</v>
      </c>
      <c r="G18" s="3">
        <f t="shared" si="5"/>
        <v>1.0411</v>
      </c>
      <c r="H18" s="3">
        <v>1.05</v>
      </c>
      <c r="I18" s="3">
        <f t="shared" si="1"/>
        <v>9.0476</v>
      </c>
      <c r="J18" s="3">
        <f t="shared" si="2"/>
        <v>8.7428</v>
      </c>
      <c r="K18" s="4"/>
    </row>
    <row r="19">
      <c r="A19" s="3">
        <v>2025.0</v>
      </c>
      <c r="B19" s="3" t="s">
        <v>12</v>
      </c>
      <c r="C19" s="3">
        <v>18.0</v>
      </c>
      <c r="D19" s="3">
        <v>9.1</v>
      </c>
      <c r="E19" s="3">
        <f t="shared" si="3"/>
        <v>9.1</v>
      </c>
      <c r="F19" s="3">
        <f t="shared" si="4"/>
        <v>9.075</v>
      </c>
      <c r="G19" s="3">
        <f t="shared" si="5"/>
        <v>1.0028</v>
      </c>
      <c r="H19" s="3">
        <v>1.01</v>
      </c>
      <c r="I19" s="3">
        <f t="shared" si="1"/>
        <v>9.0099</v>
      </c>
      <c r="J19" s="3">
        <f t="shared" si="2"/>
        <v>8.4905</v>
      </c>
      <c r="K19" s="4"/>
    </row>
    <row r="20">
      <c r="A20" s="3">
        <v>2025.0</v>
      </c>
      <c r="B20" s="3" t="s">
        <v>13</v>
      </c>
      <c r="C20" s="3">
        <v>19.0</v>
      </c>
      <c r="D20" s="3">
        <v>9.0</v>
      </c>
      <c r="E20" s="3">
        <f t="shared" si="3"/>
        <v>9.05</v>
      </c>
      <c r="F20" s="3">
        <f t="shared" si="4"/>
        <v>8.975</v>
      </c>
      <c r="G20" s="3">
        <f t="shared" si="5"/>
        <v>1.0028</v>
      </c>
      <c r="H20" s="3">
        <v>0.98</v>
      </c>
      <c r="I20" s="3">
        <f t="shared" si="1"/>
        <v>9.1837</v>
      </c>
      <c r="J20" s="3">
        <f t="shared" si="2"/>
        <v>8.2382</v>
      </c>
      <c r="K20" s="4"/>
    </row>
    <row r="21">
      <c r="A21" s="3">
        <v>2025.0</v>
      </c>
      <c r="B21" s="3" t="s">
        <v>14</v>
      </c>
      <c r="C21" s="3">
        <v>20.0</v>
      </c>
      <c r="D21" s="3">
        <v>8.6</v>
      </c>
      <c r="E21" s="3">
        <f>AVERAGE(D19:D21)</f>
        <v>8.9</v>
      </c>
      <c r="F21" s="3">
        <f>AVERAGE(E21)</f>
        <v>8.9</v>
      </c>
      <c r="G21" s="3">
        <f t="shared" si="5"/>
        <v>0.9663</v>
      </c>
      <c r="H21" s="3">
        <v>0.94</v>
      </c>
      <c r="I21" s="3">
        <f t="shared" si="1"/>
        <v>9.1489</v>
      </c>
      <c r="J21" s="3">
        <f t="shared" si="2"/>
        <v>7.9859</v>
      </c>
      <c r="K21" s="4"/>
    </row>
    <row r="22">
      <c r="A22" s="5">
        <v>2026.0</v>
      </c>
      <c r="B22" s="5" t="s">
        <v>11</v>
      </c>
      <c r="C22" s="5">
        <v>21.0</v>
      </c>
      <c r="D22" s="5">
        <v>7.8248</v>
      </c>
      <c r="E22" s="4"/>
      <c r="F22" s="4"/>
      <c r="G22" s="4"/>
      <c r="H22" s="5">
        <v>1.05</v>
      </c>
      <c r="I22" s="5">
        <f t="shared" si="1"/>
        <v>7.4522</v>
      </c>
      <c r="J22" s="5">
        <v>7.4522</v>
      </c>
      <c r="K22" s="5">
        <v>7.8248</v>
      </c>
    </row>
    <row r="23">
      <c r="A23" s="5">
        <v>2026.0</v>
      </c>
      <c r="B23" s="5" t="s">
        <v>12</v>
      </c>
      <c r="C23" s="5">
        <v>22.0</v>
      </c>
      <c r="D23" s="5">
        <v>7.233</v>
      </c>
      <c r="E23" s="4"/>
      <c r="F23" s="4"/>
      <c r="G23" s="4"/>
      <c r="H23" s="5">
        <v>1.01</v>
      </c>
      <c r="I23" s="4"/>
      <c r="J23" s="5">
        <v>7.1614</v>
      </c>
      <c r="K23" s="5">
        <v>7.233</v>
      </c>
    </row>
    <row r="24">
      <c r="A24" s="5">
        <v>2026.0</v>
      </c>
      <c r="B24" s="5" t="s">
        <v>13</v>
      </c>
      <c r="C24" s="5">
        <v>23.0</v>
      </c>
      <c r="D24" s="5">
        <v>6.7332</v>
      </c>
      <c r="E24" s="4"/>
      <c r="F24" s="4"/>
      <c r="G24" s="4"/>
      <c r="H24" s="5">
        <v>0.98</v>
      </c>
      <c r="I24" s="4"/>
      <c r="J24" s="5">
        <v>6.8707</v>
      </c>
      <c r="K24" s="5">
        <v>6.7332</v>
      </c>
    </row>
    <row r="25">
      <c r="A25" s="5">
        <v>2026.0</v>
      </c>
      <c r="B25" s="5" t="s">
        <v>14</v>
      </c>
      <c r="C25" s="5">
        <v>24.0</v>
      </c>
      <c r="D25" s="5">
        <v>6.1851</v>
      </c>
      <c r="E25" s="4"/>
      <c r="F25" s="4"/>
      <c r="G25" s="4"/>
      <c r="H25" s="5">
        <v>0.94</v>
      </c>
      <c r="I25" s="4"/>
      <c r="J25" s="5">
        <v>6.5799</v>
      </c>
      <c r="K25" s="5">
        <v>6.1851</v>
      </c>
    </row>
  </sheetData>
  <drawing r:id="rId1"/>
</worksheet>
</file>